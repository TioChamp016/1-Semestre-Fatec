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b89c014e795ab39/Área de Trabalho/Macro's/"/>
    </mc:Choice>
  </mc:AlternateContent>
  <xr:revisionPtr revIDLastSave="91" documentId="8_{080E004E-52C2-4DFB-AFD4-8D09832C43D4}" xr6:coauthVersionLast="47" xr6:coauthVersionMax="47" xr10:uidLastSave="{6D6CE340-6FEE-49CD-8977-770F980C15A7}"/>
  <bookViews>
    <workbookView minimized="1" xWindow="13425" yWindow="2250" windowWidth="12945" windowHeight="9840" xr2:uid="{8BAB9C48-E9CC-4B8D-9957-29F58B918313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1" l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H17" i="1"/>
  <c r="H16" i="1"/>
  <c r="H15" i="1"/>
  <c r="H14" i="1"/>
  <c r="H13" i="1"/>
  <c r="H12" i="1"/>
  <c r="H11" i="1"/>
  <c r="H10" i="1"/>
  <c r="H9" i="1"/>
  <c r="H8" i="1"/>
  <c r="G23" i="1"/>
  <c r="F23" i="1"/>
  <c r="E23" i="1"/>
  <c r="G17" i="1"/>
  <c r="F17" i="1"/>
  <c r="E17" i="1"/>
  <c r="G16" i="1"/>
  <c r="F16" i="1"/>
  <c r="E16" i="1"/>
  <c r="G15" i="1"/>
  <c r="F15" i="1"/>
  <c r="E15" i="1"/>
  <c r="G14" i="1"/>
  <c r="F14" i="1"/>
  <c r="E14" i="1"/>
  <c r="G13" i="1"/>
  <c r="F13" i="1"/>
  <c r="E13" i="1"/>
  <c r="G12" i="1"/>
  <c r="F12" i="1"/>
  <c r="E12" i="1"/>
  <c r="G11" i="1"/>
  <c r="F11" i="1"/>
  <c r="E11" i="1"/>
  <c r="G10" i="1"/>
  <c r="F10" i="1"/>
  <c r="E10" i="1"/>
  <c r="G9" i="1"/>
  <c r="F9" i="1"/>
  <c r="E9" i="1"/>
  <c r="G8" i="1"/>
  <c r="F8" i="1"/>
  <c r="E8" i="1"/>
  <c r="H22" i="1" l="1"/>
  <c r="H21" i="1"/>
  <c r="H20" i="1"/>
  <c r="H19" i="1"/>
  <c r="H18" i="1"/>
  <c r="H23" i="1"/>
</calcChain>
</file>

<file path=xl/sharedStrings.xml><?xml version="1.0" encoding="utf-8"?>
<sst xmlns="http://schemas.openxmlformats.org/spreadsheetml/2006/main" count="27" uniqueCount="26">
  <si>
    <t>Cotação</t>
  </si>
  <si>
    <t>Dolar</t>
  </si>
  <si>
    <t>Produto</t>
  </si>
  <si>
    <t>Valor</t>
  </si>
  <si>
    <t>Moeda</t>
  </si>
  <si>
    <t>Valor em R$</t>
  </si>
  <si>
    <t>Subtotal</t>
  </si>
  <si>
    <t>Bola</t>
  </si>
  <si>
    <t>Chuteira</t>
  </si>
  <si>
    <t>Camisa</t>
  </si>
  <si>
    <t>Camiseta</t>
  </si>
  <si>
    <t>Abrigo</t>
  </si>
  <si>
    <t>Euro</t>
  </si>
  <si>
    <t>Libra</t>
  </si>
  <si>
    <t>Franco</t>
  </si>
  <si>
    <t>Taxi</t>
  </si>
  <si>
    <t>Teatro</t>
  </si>
  <si>
    <t>Lanche</t>
  </si>
  <si>
    <t>Cinema</t>
  </si>
  <si>
    <t>Parque</t>
  </si>
  <si>
    <t>Passeio</t>
  </si>
  <si>
    <t>Museu</t>
  </si>
  <si>
    <t>Festa</t>
  </si>
  <si>
    <t>Café</t>
  </si>
  <si>
    <t>Esquiar</t>
  </si>
  <si>
    <t>Bonde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</si>
</sst>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44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235743</xdr:colOff>
          <xdr:row>0</xdr:row>
          <xdr:rowOff>71437</xdr:rowOff>
        </xdr:from>
        <xdr:to>
          <xdr:col>4</xdr:col>
          <xdr:colOff>380999</xdr:colOff>
          <xdr:row>1</xdr:row>
          <xdr:rowOff>178594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85725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2</xdr:row>
          <xdr:rowOff>171450</xdr:rowOff>
        </xdr:from>
        <xdr:to>
          <xdr:col>4</xdr:col>
          <xdr:colOff>390525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Libra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152400</xdr:rowOff>
        </xdr:from>
        <xdr:to>
          <xdr:col>6</xdr:col>
          <xdr:colOff>876300</xdr:colOff>
          <xdr:row>4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Franco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1</xdr:row>
          <xdr:rowOff>95250</xdr:rowOff>
        </xdr:from>
        <xdr:to>
          <xdr:col>8</xdr:col>
          <xdr:colOff>238125</xdr:colOff>
          <xdr:row>3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AutoSoma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E27-89A1-42EF-A0CF-034703077AEE}">
  <sheetPr codeName="Planilha1"/>
  <dimension ref="A1:O27"/>
  <sheetViews>
    <sheetView tabSelected="1" zoomScale="140" zoomScaleNormal="140" workbookViewId="0">
      <selection activeCell="M22" sqref="M22"/>
    </sheetView>
  </sheetViews>
  <sheetFormatPr defaultRowHeight="15" x14ac:dyDescent="0.25"/>
  <cols>
    <col min="7" max="7" width="13.42578125" customWidth="1"/>
    <col min="8" max="8" width="14" customWidth="1"/>
  </cols>
  <sheetData>
    <row r="1" spans="1:15" x14ac:dyDescent="0.25">
      <c r="B1" t="s">
        <v>0</v>
      </c>
    </row>
    <row r="2" spans="1:15" x14ac:dyDescent="0.25">
      <c r="A2" t="s">
        <v>1</v>
      </c>
      <c r="B2" s="1">
        <v>5.21</v>
      </c>
    </row>
    <row r="3" spans="1:15" x14ac:dyDescent="0.25">
      <c r="A3" t="s">
        <v>12</v>
      </c>
      <c r="B3" s="1">
        <v>6.2</v>
      </c>
      <c r="E3" s="2"/>
      <c r="M3" s="2"/>
    </row>
    <row r="4" spans="1:15" x14ac:dyDescent="0.25">
      <c r="A4" t="s">
        <v>13</v>
      </c>
      <c r="B4" s="1">
        <v>7.31</v>
      </c>
      <c r="E4" s="2"/>
    </row>
    <row r="5" spans="1:15" x14ac:dyDescent="0.25">
      <c r="A5" t="s">
        <v>14</v>
      </c>
      <c r="B5" s="1">
        <v>5.75</v>
      </c>
    </row>
    <row r="7" spans="1:15" x14ac:dyDescent="0.25">
      <c r="C7" t="s">
        <v>2</v>
      </c>
      <c r="D7" t="s">
        <v>3</v>
      </c>
      <c r="E7" t="s">
        <v>4</v>
      </c>
      <c r="F7" t="s">
        <v>0</v>
      </c>
      <c r="G7" t="s">
        <v>5</v>
      </c>
      <c r="H7" t="s">
        <v>6</v>
      </c>
      <c r="K7" s="2"/>
    </row>
    <row r="8" spans="1:15" x14ac:dyDescent="0.25">
      <c r="C8" t="s">
        <v>7</v>
      </c>
      <c r="D8">
        <v>50.23</v>
      </c>
      <c r="E8" t="str">
        <f>$A$4</f>
        <v>Libra</v>
      </c>
      <c r="F8" s="2">
        <f>$B$4</f>
        <v>7.31</v>
      </c>
      <c r="G8" s="1">
        <f>D8*F8</f>
        <v>367.18129999999996</v>
      </c>
      <c r="H8" s="2">
        <f>SUM($G$8:G8)</f>
        <v>367.18129999999996</v>
      </c>
      <c r="O8" s="2"/>
    </row>
    <row r="9" spans="1:15" x14ac:dyDescent="0.25">
      <c r="C9" t="s">
        <v>8</v>
      </c>
      <c r="D9">
        <v>147.21</v>
      </c>
      <c r="E9" t="str">
        <f>$A$3</f>
        <v>Euro</v>
      </c>
      <c r="F9" s="2">
        <f>$B$3</f>
        <v>6.2</v>
      </c>
      <c r="G9" s="1">
        <f>D9*F9</f>
        <v>912.70200000000011</v>
      </c>
      <c r="H9" s="2">
        <f>SUM($G$8:G9)</f>
        <v>1279.8833</v>
      </c>
    </row>
    <row r="10" spans="1:15" x14ac:dyDescent="0.25">
      <c r="C10" t="s">
        <v>9</v>
      </c>
      <c r="D10">
        <v>198.54</v>
      </c>
      <c r="E10" t="str">
        <f>$A$5</f>
        <v>Franco</v>
      </c>
      <c r="F10" s="2">
        <f>$B$5</f>
        <v>5.75</v>
      </c>
      <c r="G10" s="1">
        <f>D10*F10</f>
        <v>1141.605</v>
      </c>
      <c r="H10" s="2">
        <f>SUM($G$8:G10)</f>
        <v>2421.4883</v>
      </c>
    </row>
    <row r="11" spans="1:15" x14ac:dyDescent="0.25">
      <c r="C11" t="s">
        <v>10</v>
      </c>
      <c r="D11">
        <v>89.21</v>
      </c>
      <c r="E11" t="str">
        <f>$A$2</f>
        <v>Dolar</v>
      </c>
      <c r="F11" s="2">
        <f>$B$2</f>
        <v>5.21</v>
      </c>
      <c r="G11" s="1">
        <f>D11*F11</f>
        <v>464.78409999999997</v>
      </c>
      <c r="H11" s="2">
        <f>SUM($G$8:G11)</f>
        <v>2886.2723999999998</v>
      </c>
    </row>
    <row r="12" spans="1:15" x14ac:dyDescent="0.25">
      <c r="C12" t="s">
        <v>11</v>
      </c>
      <c r="D12">
        <v>167.25</v>
      </c>
      <c r="E12" t="str">
        <f>$A$4</f>
        <v>Libra</v>
      </c>
      <c r="F12" s="2">
        <f>$B$4</f>
        <v>7.31</v>
      </c>
      <c r="G12" s="1">
        <f>D12*F12</f>
        <v>1222.5974999999999</v>
      </c>
      <c r="H12" s="2">
        <f>SUM($G$8:G12)</f>
        <v>4108.8698999999997</v>
      </c>
    </row>
    <row r="13" spans="1:15" x14ac:dyDescent="0.25">
      <c r="C13" t="s">
        <v>15</v>
      </c>
      <c r="D13">
        <v>2.5</v>
      </c>
      <c r="E13" t="str">
        <f>$A$4</f>
        <v>Libra</v>
      </c>
      <c r="F13" s="2">
        <f>$B$4</f>
        <v>7.31</v>
      </c>
      <c r="G13" s="1">
        <f>D13*F13</f>
        <v>18.274999999999999</v>
      </c>
      <c r="H13" s="2">
        <f>SUM($G$8:G13)</f>
        <v>4127.1448999999993</v>
      </c>
    </row>
    <row r="14" spans="1:15" x14ac:dyDescent="0.25">
      <c r="C14" t="s">
        <v>16</v>
      </c>
      <c r="D14">
        <v>50.6</v>
      </c>
      <c r="E14" t="str">
        <f>$A$5</f>
        <v>Franco</v>
      </c>
      <c r="F14" s="2">
        <f>$B$5</f>
        <v>5.75</v>
      </c>
      <c r="G14" s="1">
        <f>D14*F14</f>
        <v>290.95</v>
      </c>
      <c r="H14" s="2">
        <f>SUM($G$8:G14)</f>
        <v>4418.0948999999991</v>
      </c>
    </row>
    <row r="15" spans="1:15" x14ac:dyDescent="0.25">
      <c r="C15" t="s">
        <v>17</v>
      </c>
      <c r="D15">
        <v>10.8</v>
      </c>
      <c r="E15" t="str">
        <f>$A$2</f>
        <v>Dolar</v>
      </c>
      <c r="F15" s="2">
        <f>$B$2</f>
        <v>5.21</v>
      </c>
      <c r="G15" s="1">
        <f>D15*F15</f>
        <v>56.268000000000001</v>
      </c>
      <c r="H15" s="2">
        <f>SUM($G$8:G15)</f>
        <v>4474.3628999999992</v>
      </c>
    </row>
    <row r="16" spans="1:15" x14ac:dyDescent="0.25">
      <c r="C16" t="s">
        <v>18</v>
      </c>
      <c r="D16">
        <v>20.5</v>
      </c>
      <c r="E16" t="str">
        <f>$A$3</f>
        <v>Euro</v>
      </c>
      <c r="F16" s="2">
        <f>$B$3</f>
        <v>6.2</v>
      </c>
      <c r="G16" s="1">
        <f>D16*F16</f>
        <v>127.10000000000001</v>
      </c>
      <c r="H16" s="2">
        <f>SUM($G$8:G16)</f>
        <v>4601.4628999999995</v>
      </c>
      <c r="L16" s="2"/>
    </row>
    <row r="17" spans="3:8" x14ac:dyDescent="0.25">
      <c r="C17" t="s">
        <v>19</v>
      </c>
      <c r="D17">
        <v>120</v>
      </c>
      <c r="E17" t="str">
        <f>$A$4</f>
        <v>Libra</v>
      </c>
      <c r="F17" s="2">
        <f>$B$4</f>
        <v>7.31</v>
      </c>
      <c r="G17" s="1">
        <f>D17*F17</f>
        <v>877.19999999999993</v>
      </c>
      <c r="H17" s="2">
        <f>SUM($G$8:G17)</f>
        <v>5478.6628999999994</v>
      </c>
    </row>
    <row r="18" spans="3:8" x14ac:dyDescent="0.25">
      <c r="C18" t="s">
        <v>20</v>
      </c>
      <c r="D18">
        <v>98</v>
      </c>
      <c r="E18" t="str">
        <f>$A$4</f>
        <v>Libra</v>
      </c>
      <c r="F18" s="2">
        <f>$B$4</f>
        <v>7.31</v>
      </c>
      <c r="G18" s="1">
        <f>D18*F18</f>
        <v>716.38</v>
      </c>
      <c r="H18" s="2">
        <f>SUM($G$8:G18)</f>
        <v>6195.0428999999995</v>
      </c>
    </row>
    <row r="19" spans="3:8" x14ac:dyDescent="0.25">
      <c r="C19" t="s">
        <v>21</v>
      </c>
      <c r="D19">
        <v>130</v>
      </c>
      <c r="E19" t="str">
        <f>$A$5</f>
        <v>Franco</v>
      </c>
      <c r="F19" s="2">
        <f>$B$5</f>
        <v>5.75</v>
      </c>
      <c r="G19" s="1">
        <f>D19*F19</f>
        <v>747.5</v>
      </c>
      <c r="H19" s="2">
        <f>SUM($G$8:G19)</f>
        <v>6942.5428999999995</v>
      </c>
    </row>
    <row r="20" spans="3:8" x14ac:dyDescent="0.25">
      <c r="C20" t="s">
        <v>22</v>
      </c>
      <c r="D20">
        <v>250</v>
      </c>
      <c r="E20" t="str">
        <f>$A$2</f>
        <v>Dolar</v>
      </c>
      <c r="F20" s="2">
        <f>$B$2</f>
        <v>5.21</v>
      </c>
      <c r="G20" s="1">
        <f>D20*F20</f>
        <v>1302.5</v>
      </c>
      <c r="H20" s="2">
        <f>SUM($G$8:G20)</f>
        <v>8245.0429000000004</v>
      </c>
    </row>
    <row r="21" spans="3:8" x14ac:dyDescent="0.25">
      <c r="C21" t="s">
        <v>23</v>
      </c>
      <c r="D21">
        <v>5.7</v>
      </c>
      <c r="E21" t="str">
        <f>$A$3</f>
        <v>Euro</v>
      </c>
      <c r="F21" s="2">
        <f>$B$3</f>
        <v>6.2</v>
      </c>
      <c r="G21" s="1">
        <f>D21*F21</f>
        <v>35.340000000000003</v>
      </c>
      <c r="H21" s="2">
        <f>SUM($G$8:G21)</f>
        <v>8280.3829000000005</v>
      </c>
    </row>
    <row r="22" spans="3:8" x14ac:dyDescent="0.25">
      <c r="C22" t="s">
        <v>24</v>
      </c>
      <c r="D22">
        <v>150</v>
      </c>
      <c r="E22" t="str">
        <f>$A$4</f>
        <v>Libra</v>
      </c>
      <c r="F22" s="2">
        <f>$B$4</f>
        <v>7.31</v>
      </c>
      <c r="G22" s="1">
        <f>D22*F22</f>
        <v>1096.5</v>
      </c>
      <c r="H22" s="2">
        <f>SUM($G$8:G22)</f>
        <v>9376.8829000000005</v>
      </c>
    </row>
    <row r="23" spans="3:8" x14ac:dyDescent="0.25">
      <c r="C23" t="s">
        <v>25</v>
      </c>
      <c r="D23">
        <v>10.3</v>
      </c>
      <c r="E23" t="str">
        <f>$A$5</f>
        <v>Franco</v>
      </c>
      <c r="F23" s="2">
        <f>$B$5</f>
        <v>5.75</v>
      </c>
      <c r="G23" s="1">
        <f>D23*F23</f>
        <v>59.225000000000001</v>
      </c>
      <c r="H23" s="2">
        <f>SUM($G$8:G23)</f>
        <v>9436.1079000000009</v>
      </c>
    </row>
    <row r="24" spans="3:8" x14ac:dyDescent="0.25">
      <c r="F24" s="2"/>
    </row>
    <row r="25" spans="3:8" x14ac:dyDescent="0.25">
      <c r="F25" s="2"/>
    </row>
    <row r="26" spans="3:8" x14ac:dyDescent="0.25">
      <c r="F26" s="2"/>
    </row>
    <row r="27" spans="3:8" x14ac:dyDescent="0.25">
      <c r="F27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ito">
                <anchor moveWithCells="1" sizeWithCells="1">
                  <from>
                    <xdr:col>2</xdr:col>
                    <xdr:colOff>238125</xdr:colOff>
                    <xdr:row>0</xdr:row>
                    <xdr:rowOff>66675</xdr:rowOff>
                  </from>
                  <to>
                    <xdr:col>4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uro">
                <anchor moveWithCells="1" sizeWithCells="1">
                  <from>
                    <xdr:col>5</xdr:col>
                    <xdr:colOff>9525</xdr:colOff>
                    <xdr:row>0</xdr:row>
                    <xdr:rowOff>85725</xdr:rowOff>
                  </from>
                  <to>
                    <xdr:col>7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ibra">
                <anchor moveWithCells="1" sizeWithCells="1">
                  <from>
                    <xdr:col>2</xdr:col>
                    <xdr:colOff>247650</xdr:colOff>
                    <xdr:row>2</xdr:row>
                    <xdr:rowOff>171450</xdr:rowOff>
                  </from>
                  <to>
                    <xdr:col>4</xdr:col>
                    <xdr:colOff>390525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ranco">
                <anchor moveWithCells="1" sizeWithCells="1">
                  <from>
                    <xdr:col>5</xdr:col>
                    <xdr:colOff>0</xdr:colOff>
                    <xdr:row>2</xdr:row>
                    <xdr:rowOff>152400</xdr:rowOff>
                  </from>
                  <to>
                    <xdr:col>6</xdr:col>
                    <xdr:colOff>876300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utoSoma">
                <anchor moveWithCells="1" sizeWithCells="1">
                  <from>
                    <xdr:col>7</xdr:col>
                    <xdr:colOff>323850</xdr:colOff>
                    <xdr:row>1</xdr:row>
                    <xdr:rowOff>95250</xdr:rowOff>
                  </from>
                  <to>
                    <xdr:col>8</xdr:col>
                    <xdr:colOff>238125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Veronez Giolo</dc:creator>
  <cp:lastModifiedBy>Gabriel Veronez Giolo</cp:lastModifiedBy>
  <dcterms:created xsi:type="dcterms:W3CDTF">2021-08-09T12:47:54Z</dcterms:created>
  <dcterms:modified xsi:type="dcterms:W3CDTF">2021-08-09T14:13:17Z</dcterms:modified>
</cp:coreProperties>
</file>